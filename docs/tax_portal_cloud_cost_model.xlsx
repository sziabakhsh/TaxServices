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puts" sheetId="1" state="visible" r:id="rId2"/>
    <sheet name="Cost Comparison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4" authorId="0">
      <text>
        <r>
          <rPr>
            <sz val="11"/>
            <color rgb="FF000000"/>
            <rFont val="Calibri"/>
            <family val="2"/>
            <charset val="1"/>
          </rPr>
          <t xml:space="preserve">فرض: اسکن پرونده‌ها، فرم‌های مالیاتی و ضمائم. عدد واقعی را با نمونه‌گیری از داده‌های فعلی جایگزین کنید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B7" authorId="0">
      <text>
        <r>
          <rPr>
            <sz val="11"/>
            <color rgb="FF000000"/>
            <rFont val="Calibri"/>
            <family val="2"/>
            <charset val="1"/>
          </rPr>
          <t xml:space="preserve">AWS KMS </t>
        </r>
        <r>
          <rPr>
            <sz val="10"/>
            <rFont val="FreeSans"/>
            <family val="2"/>
            <charset val="1"/>
          </rPr>
          <t xml:space="preserve">و </t>
        </r>
        <r>
          <rPr>
            <sz val="10"/>
            <rFont val="Arial"/>
            <family val="2"/>
            <charset val="1"/>
          </rPr>
          <t xml:space="preserve">Azure Key Vault </t>
        </r>
        <r>
          <rPr>
            <sz val="10"/>
            <rFont val="FreeSans"/>
            <family val="2"/>
            <charset val="1"/>
          </rPr>
          <t xml:space="preserve">هر دو حدود </t>
        </r>
        <r>
          <rPr>
            <sz val="10"/>
            <rFont val="Arial"/>
            <family val="2"/>
            <charset val="1"/>
          </rPr>
          <t xml:space="preserve">1 دلار در ماه به ازای هر کلید/Scope </t>
        </r>
        <r>
          <rPr>
            <sz val="10"/>
            <rFont val="FreeSans"/>
            <family val="2"/>
            <charset val="1"/>
          </rPr>
          <t xml:space="preserve">فعال هزینه می‌گیرند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B8" authorId="0">
      <text>
        <r>
          <rPr>
            <sz val="11"/>
            <color rgb="FF000000"/>
            <rFont val="Calibri"/>
            <family val="2"/>
            <charset val="1"/>
          </rPr>
          <t xml:space="preserve">برای ارائه تخمین به کارفرما به </t>
        </r>
        <r>
          <rPr>
            <sz val="10"/>
            <rFont val="Arial"/>
            <family val="2"/>
            <charset val="1"/>
          </rPr>
          <t xml:space="preserve">CAD. </t>
        </r>
        <r>
          <rPr>
            <sz val="10"/>
            <rFont val="FreeSans"/>
            <family val="2"/>
            <charset val="1"/>
          </rPr>
          <t xml:space="preserve">قبل از ارائه نهایی نرخ روز را چک کنید</t>
        </r>
        <r>
          <rPr>
            <sz val="10"/>
            <rFont val="Arial"/>
            <family val="2"/>
            <charset val="1"/>
          </rPr>
          <t xml:space="preserve">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9" authorId="0">
      <text>
        <r>
          <rPr>
            <sz val="11"/>
            <color rgb="FF000000"/>
            <rFont val="Calibri"/>
            <family val="2"/>
            <charset val="1"/>
          </rPr>
          <t xml:space="preserve">AWS S3 Standard, Canada (Central). </t>
        </r>
        <r>
          <rPr>
            <sz val="10"/>
            <rFont val="FreeSans"/>
            <family val="2"/>
            <charset val="1"/>
          </rPr>
          <t xml:space="preserve">منبع</t>
        </r>
        <r>
          <rPr>
            <sz val="10"/>
            <rFont val="Arial"/>
            <family val="2"/>
            <charset val="1"/>
          </rPr>
          <t xml:space="preserve">: aws.amazon.com/s3/pricing</t>
        </r>
      </text>
    </comment>
    <comment ref="C9" authorId="0">
      <text>
        <r>
          <rPr>
            <sz val="11"/>
            <color rgb="FF000000"/>
            <rFont val="Calibri"/>
            <family val="2"/>
            <charset val="1"/>
          </rPr>
          <t xml:space="preserve">Azure Blob Hot tier LRS, Canada Central (</t>
        </r>
        <r>
          <rPr>
            <sz val="10"/>
            <rFont val="FreeSans"/>
            <family val="2"/>
            <charset val="1"/>
          </rPr>
          <t xml:space="preserve">تقریبی، بین </t>
        </r>
        <r>
          <rPr>
            <sz val="10"/>
            <rFont val="Arial"/>
            <family val="2"/>
            <charset val="1"/>
          </rPr>
          <t xml:space="preserve">0.018 تا 0.023). </t>
        </r>
        <r>
          <rPr>
            <sz val="10"/>
            <rFont val="FreeSans"/>
            <family val="2"/>
            <charset val="1"/>
          </rPr>
          <t xml:space="preserve">منبع</t>
        </r>
        <r>
          <rPr>
            <sz val="10"/>
            <rFont val="Arial"/>
            <family val="2"/>
            <charset val="1"/>
          </rPr>
          <t xml:space="preserve">: azure.microsoft.com/pricing/details/storage/blobs</t>
        </r>
      </text>
    </comment>
    <comment ref="C10" authorId="0">
      <text>
        <r>
          <rPr>
            <sz val="11"/>
            <color rgb="FF000000"/>
            <rFont val="Calibri"/>
            <family val="2"/>
            <charset val="1"/>
          </rPr>
          <t xml:space="preserve">تقریبی بر اساس نرخ عمومی </t>
        </r>
        <r>
          <rPr>
            <sz val="10"/>
            <rFont val="Arial"/>
            <family val="2"/>
            <charset val="1"/>
          </rPr>
          <t xml:space="preserve">Azure Hot tier write operations</t>
        </r>
        <r>
          <rPr>
            <sz val="10"/>
            <rFont val="FreeSans"/>
            <family val="2"/>
            <charset val="1"/>
          </rPr>
          <t xml:space="preserve">؛ پیش از ارائه نهایی با </t>
        </r>
        <r>
          <rPr>
            <sz val="10"/>
            <rFont val="Arial"/>
            <family val="2"/>
            <charset val="1"/>
          </rPr>
          <t xml:space="preserve">Azure Pricing Calculator </t>
        </r>
        <r>
          <rPr>
            <sz val="10"/>
            <rFont val="FreeSans"/>
            <family val="2"/>
            <charset val="1"/>
          </rPr>
          <t xml:space="preserve">تایید شود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C11" authorId="0">
      <text>
        <r>
          <rPr>
            <sz val="11"/>
            <color rgb="FF000000"/>
            <rFont val="Calibri"/>
            <family val="2"/>
            <charset val="1"/>
          </rPr>
          <t xml:space="preserve">تقریبی بر اساس نرخ عمومی </t>
        </r>
        <r>
          <rPr>
            <sz val="10"/>
            <rFont val="Arial"/>
            <family val="2"/>
            <charset val="1"/>
          </rPr>
          <t xml:space="preserve">Azure Hot tier read operations</t>
        </r>
        <r>
          <rPr>
            <sz val="10"/>
            <rFont val="FreeSans"/>
            <family val="2"/>
            <charset val="1"/>
          </rPr>
          <t xml:space="preserve">؛ پیش از ارائه نهایی با </t>
        </r>
        <r>
          <rPr>
            <sz val="10"/>
            <rFont val="Arial"/>
            <family val="2"/>
            <charset val="1"/>
          </rPr>
          <t xml:space="preserve">Azure Pricing Calculator </t>
        </r>
        <r>
          <rPr>
            <sz val="10"/>
            <rFont val="FreeSans"/>
            <family val="2"/>
            <charset val="1"/>
          </rPr>
          <t xml:space="preserve">تایید شود</t>
        </r>
        <r>
          <rPr>
            <sz val="10"/>
            <rFont val="Arial"/>
            <family val="2"/>
            <charset val="1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<sst xmlns="http://schemas.openxmlformats.org/spreadsheetml/2006/main" count="32" uniqueCount="32">
  <si>
    <t xml:space="preserve">ورودی‌های مدل تخمین هزینه</t>
  </si>
  <si>
    <t xml:space="preserve">تعداد کلاینت‌های فعال (شرکت‌ها/اشخاصی که پرونده مالیاتی‌شان رسیدگی می‌شود)</t>
  </si>
  <si>
    <t xml:space="preserve">میانگین حجم فایل‌های مالیاتی هر کلاینت در سال (مگابایت)</t>
  </si>
  <si>
    <t xml:space="preserve">میانگین تعداد آپلود (PUT) در سال به ازای هر کلاینت</t>
  </si>
  <si>
    <t xml:space="preserve">میانگین تعداد دانلود (GET) در سال به ازای هر کلاینت</t>
  </si>
  <si>
    <t xml:space="preserve">تعداد کلید/Scope رمزنگاری اختصاصی مورد نیاز (Customer-Managed Key)</t>
  </si>
  <si>
    <t xml:space="preserve">نرخ تبدیل دلار آمریکا به دلار کانادا (USD→CAD)</t>
  </si>
  <si>
    <t xml:space="preserve">راهنما: فقط سلول‌های زرد رنگ (B3 تا B8) را برای سناریوهای مختلف تغییر دهید.</t>
  </si>
  <si>
    <t xml:space="preserve">مقایسه هزینه سالانه: AWS در برابر Azure (ریجن کانادا)</t>
  </si>
  <si>
    <t xml:space="preserve">شاخص</t>
  </si>
  <si>
    <t xml:space="preserve">AWS (USD)</t>
  </si>
  <si>
    <t xml:space="preserve">Azure (USD)</t>
  </si>
  <si>
    <t xml:space="preserve">حجم کل ذخیره‌سازی (گیگابایت در سال)</t>
  </si>
  <si>
    <t xml:space="preserve">تعداد کل درخواست‌های آپلود (PUT/Write) در سال</t>
  </si>
  <si>
    <t xml:space="preserve">تعداد کل درخواست‌های دانلود (GET/Read) در سال</t>
  </si>
  <si>
    <t xml:space="preserve">نرخ‌های واحد (بر اساس نرخ‌های عمومی رسمی - Hot/Standard tier، ریجن Canada Central)</t>
  </si>
  <si>
    <t xml:space="preserve">نرخ ذخیره‌سازی ($ به ازای هر گیگابایت در ماه)</t>
  </si>
  <si>
    <t xml:space="preserve">نرخ هر درخواست PUT/Write ($)</t>
  </si>
  <si>
    <t xml:space="preserve">نرخ هر درخواست GET/Read ($)</t>
  </si>
  <si>
    <t xml:space="preserve">هزینه‌های سالانه محاسبه‌شده</t>
  </si>
  <si>
    <t xml:space="preserve">هزینه سالانه ذخیره‌سازی (= حجم × نرخ × 12 ماه)</t>
  </si>
  <si>
    <t xml:space="preserve">هزینه سالانه درخواست‌های PUT/Write</t>
  </si>
  <si>
    <t xml:space="preserve">هزینه سالانه درخواست‌های GET/Read</t>
  </si>
  <si>
    <t xml:space="preserve">هزینه سالانه مدیریت کلید رمزنگاری (KMS / Key Vault، ~1$ در ماه هر کلید)</t>
  </si>
  <si>
    <t xml:space="preserve">جمع کل هزینه سالانه (USD)</t>
  </si>
  <si>
    <t xml:space="preserve">جمع کل هزینه سالانه (تخمین به CAD)</t>
  </si>
  <si>
    <t xml:space="preserve">یادداشت‌ها و منابع:</t>
  </si>
  <si>
    <t xml:space="preserve">1) این مدل بر اساس نرخ‌های لیست عمومی (List Price) AWS و Azure برای ریجن کانادا (Canada Central) در سپتامبر 2026 است؛ نرخ‌ها به مرور تغییر می‌کنند.</t>
  </si>
  <si>
    <t xml:space="preserve">2) فرض شده تمام فایل‌ها در Tier گرم (S3 Standard / Azure Hot) نگهداری می‌شوند چون در طول رسیدگی مالیاتی به‌طور مرتب خوانده می‌شوند. اگر بخشی از فایل‌ها بعد از پایان رسیدگی به Cool/Archive منتقل شوند، هزینه ذخیره‌سازی کاهش می‌یابد اما با محدودیت حداقل دوره نگهداری (Cool: 30 روز، Cold: 90 روز، Archive: 180 روز).</t>
  </si>
  <si>
    <t xml:space="preserve">3) هزینه انتقال داده به بیرون (Egress) و هزینه‌های احتمالی SSO/Directory Service (مثل Azure AD) در این مدل لحاظ نشده و باید جداگانه بررسی شود.</t>
  </si>
  <si>
    <t xml:space="preserve">4) پیش از ارائه رسمی به کارفرما، حتماً این اعداد را با AWS Pricing Calculator (calculator.aws) و Azure Pricing Calculator (azure.microsoft.com/pricing/calculator) تایید کنید.</t>
  </si>
  <si>
    <t xml:space="preserve">5) فاز توسعه (Development) هر دو ارائه‌دهنده اعتبار/سطح رایگان دارند که معمولاً هزینه این فاز را صفر یا نزدیک به صفر می‌کند (به بخش گفتگو مراجعه شود).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</si>
</sst>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"/>
    <numFmt numFmtId="166" formatCode="#,##0"/>
    <numFmt numFmtId="167" formatCode="\$#,##0.00"/>
    <numFmt numFmtId="168" formatCode="\$#,##0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sz val="10"/>
      <name val="Arial"/>
      <family val="2"/>
      <charset val="1"/>
    </font>
    <font>
      <sz val="10"/>
      <name val="FreeSans"/>
      <family val="2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9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1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8" fontId="1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13" fillId="0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5"/>
    <col collapsed="false" customWidth="true" hidden="false" outlineLevel="0" max="2" min="2" style="1" width="18"/>
  </cols>
  <sheetData>
    <row r="1" customFormat="false" ht="17.35" hidden="false" customHeight="false" outlineLevel="0" collapsed="false">
      <c r="A1" s="2" t="s">
        <v>0</v>
      </c>
    </row>
    <row r="3" customFormat="false" ht="26.85" hidden="false" customHeight="false" outlineLevel="0" collapsed="false">
      <c r="A3" s="3" t="s">
        <v>1</v>
      </c>
      <c r="B3" s="4" t="n">
        <v>2000</v>
      </c>
    </row>
    <row r="4" customFormat="false" ht="15" hidden="false" customHeight="false" outlineLevel="0" collapsed="false">
      <c r="A4" s="3" t="s">
        <v>2</v>
      </c>
      <c r="B4" s="4" t="n">
        <v>50</v>
      </c>
    </row>
    <row r="5" customFormat="false" ht="15" hidden="false" customHeight="false" outlineLevel="0" collapsed="false">
      <c r="A5" s="3" t="s">
        <v>3</v>
      </c>
      <c r="B5" s="4" t="n">
        <v>15</v>
      </c>
    </row>
    <row r="6" customFormat="false" ht="15" hidden="false" customHeight="false" outlineLevel="0" collapsed="false">
      <c r="A6" s="3" t="s">
        <v>4</v>
      </c>
      <c r="B6" s="4" t="n">
        <v>25</v>
      </c>
    </row>
    <row r="7" customFormat="false" ht="26.85" hidden="false" customHeight="false" outlineLevel="0" collapsed="false">
      <c r="A7" s="3" t="s">
        <v>5</v>
      </c>
      <c r="B7" s="4" t="n">
        <v>1</v>
      </c>
    </row>
    <row r="8" customFormat="false" ht="15" hidden="false" customHeight="false" outlineLevel="0" collapsed="false">
      <c r="A8" s="3" t="s">
        <v>6</v>
      </c>
      <c r="B8" s="4" t="n">
        <v>1.4</v>
      </c>
    </row>
    <row r="10" customFormat="false" ht="26.85" hidden="false" customHeight="false" outlineLevel="0" collapsed="false">
      <c r="A10" s="5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true" tabSelected="true" showOutlineSymbols="true" defaultGridColor="true" view="normal" topLeftCell="A25" colorId="64" zoomScale="100" zoomScaleNormal="100" zoomScalePageLayoutView="100" workbookViewId="0">
      <selection pane="topLeft" activeCell="C18" activeCellId="0" sqref="C1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5"/>
    <col collapsed="false" customWidth="true" hidden="false" outlineLevel="0" max="3" min="2" style="1" width="18"/>
  </cols>
  <sheetData>
    <row r="1" customFormat="false" ht="17.15" hidden="false" customHeight="false" outlineLevel="0" collapsed="false">
      <c r="A1" s="2" t="s">
        <v>8</v>
      </c>
    </row>
    <row r="3" customFormat="false" ht="15" hidden="false" customHeight="false" outlineLevel="0" collapsed="false">
      <c r="A3" s="6" t="s">
        <v>9</v>
      </c>
      <c r="B3" s="6" t="s">
        <v>10</v>
      </c>
      <c r="C3" s="6" t="s">
        <v>11</v>
      </c>
    </row>
    <row r="4" customFormat="false" ht="15" hidden="false" customHeight="false" outlineLevel="0" collapsed="false">
      <c r="A4" s="3" t="s">
        <v>12</v>
      </c>
      <c r="B4" s="7" t="n">
        <f aca="false">Inputs!B3*Inputs!B4/1024</f>
        <v>97.65625</v>
      </c>
      <c r="C4" s="7" t="n">
        <f aca="false">B4</f>
        <v>97.65625</v>
      </c>
    </row>
    <row r="5" customFormat="false" ht="15" hidden="false" customHeight="false" outlineLevel="0" collapsed="false">
      <c r="A5" s="3" t="s">
        <v>13</v>
      </c>
      <c r="B5" s="8" t="n">
        <f aca="false">Inputs!B3*Inputs!B5</f>
        <v>30000</v>
      </c>
      <c r="C5" s="8" t="n">
        <f aca="false">B5</f>
        <v>30000</v>
      </c>
    </row>
    <row r="6" customFormat="false" ht="15" hidden="false" customHeight="false" outlineLevel="0" collapsed="false">
      <c r="A6" s="3" t="s">
        <v>14</v>
      </c>
      <c r="B6" s="8" t="n">
        <f aca="false">Inputs!B3*Inputs!B6</f>
        <v>50000</v>
      </c>
      <c r="C6" s="8" t="n">
        <f aca="false">B6</f>
        <v>50000</v>
      </c>
    </row>
    <row r="8" customFormat="false" ht="13.8" hidden="false" customHeight="false" outlineLevel="0" collapsed="false">
      <c r="A8" s="9" t="s">
        <v>15</v>
      </c>
    </row>
    <row r="9" customFormat="false" ht="15" hidden="false" customHeight="false" outlineLevel="0" collapsed="false">
      <c r="A9" s="3" t="s">
        <v>16</v>
      </c>
      <c r="B9" s="4" t="n">
        <v>0.023</v>
      </c>
      <c r="C9" s="4" t="n">
        <v>0.02</v>
      </c>
    </row>
    <row r="10" customFormat="false" ht="15" hidden="false" customHeight="false" outlineLevel="0" collapsed="false">
      <c r="A10" s="3" t="s">
        <v>17</v>
      </c>
      <c r="B10" s="10" t="n">
        <f aca="false">0.005/1000</f>
        <v>5E-006</v>
      </c>
      <c r="C10" s="10" t="n">
        <f aca="false">0.055/10000</f>
        <v>5.5E-006</v>
      </c>
    </row>
    <row r="11" customFormat="false" ht="15" hidden="false" customHeight="false" outlineLevel="0" collapsed="false">
      <c r="A11" s="3" t="s">
        <v>18</v>
      </c>
      <c r="B11" s="10" t="n">
        <f aca="false">0.0004/1000</f>
        <v>4E-007</v>
      </c>
      <c r="C11" s="10" t="n">
        <f aca="false">0.0044/10000</f>
        <v>4.4E-007</v>
      </c>
    </row>
    <row r="13" customFormat="false" ht="15" hidden="false" customHeight="false" outlineLevel="0" collapsed="false">
      <c r="A13" s="11" t="s">
        <v>19</v>
      </c>
    </row>
    <row r="14" customFormat="false" ht="15" hidden="false" customHeight="false" outlineLevel="0" collapsed="false">
      <c r="A14" s="3" t="s">
        <v>20</v>
      </c>
      <c r="B14" s="12" t="n">
        <f aca="false">B4*B9*12</f>
        <v>26.953125</v>
      </c>
      <c r="C14" s="12" t="n">
        <f aca="false">C4*C9*12</f>
        <v>23.4375</v>
      </c>
    </row>
    <row r="15" customFormat="false" ht="15" hidden="false" customHeight="false" outlineLevel="0" collapsed="false">
      <c r="A15" s="3" t="s">
        <v>21</v>
      </c>
      <c r="B15" s="12" t="n">
        <f aca="false">B5*B10</f>
        <v>0.15</v>
      </c>
      <c r="C15" s="12" t="n">
        <f aca="false">C5*C10</f>
        <v>0.165</v>
      </c>
    </row>
    <row r="16" customFormat="false" ht="15" hidden="false" customHeight="false" outlineLevel="0" collapsed="false">
      <c r="A16" s="3" t="s">
        <v>22</v>
      </c>
      <c r="B16" s="12" t="n">
        <f aca="false">B6*B11</f>
        <v>0.02</v>
      </c>
      <c r="C16" s="12" t="n">
        <f aca="false">C6*C11</f>
        <v>0.022</v>
      </c>
    </row>
    <row r="17" customFormat="false" ht="26.85" hidden="false" customHeight="false" outlineLevel="0" collapsed="false">
      <c r="A17" s="3" t="s">
        <v>23</v>
      </c>
      <c r="B17" s="12" t="n">
        <f aca="false">Inputs!B7*12*1</f>
        <v>12</v>
      </c>
      <c r="C17" s="12" t="n">
        <f aca="false">Inputs!B7*12*1</f>
        <v>12</v>
      </c>
    </row>
    <row r="19" customFormat="false" ht="15" hidden="false" customHeight="false" outlineLevel="0" collapsed="false">
      <c r="A19" s="13" t="s">
        <v>24</v>
      </c>
      <c r="B19" s="14" t="n">
        <f aca="false">SUM(B14:B17)</f>
        <v>39.123125</v>
      </c>
      <c r="C19" s="14" t="n">
        <f aca="false">SUM(C14:C17)</f>
        <v>35.6245</v>
      </c>
    </row>
    <row r="20" customFormat="false" ht="15" hidden="false" customHeight="false" outlineLevel="0" collapsed="false">
      <c r="A20" s="13" t="s">
        <v>25</v>
      </c>
      <c r="B20" s="14" t="n">
        <f aca="false">B19*Inputs!B8</f>
        <v>54.772375</v>
      </c>
      <c r="C20" s="14" t="n">
        <f aca="false">C19*Inputs!B8</f>
        <v>49.8743</v>
      </c>
    </row>
    <row r="22" customFormat="false" ht="15" hidden="false" customHeight="true" outlineLevel="0" collapsed="false">
      <c r="A22" s="15" t="s">
        <v>26</v>
      </c>
      <c r="B22" s="15"/>
      <c r="C22" s="15"/>
    </row>
    <row r="23" customFormat="false" ht="22.35" hidden="false" customHeight="true" outlineLevel="0" collapsed="false">
      <c r="A23" s="16" t="s">
        <v>27</v>
      </c>
      <c r="B23" s="16"/>
      <c r="C23" s="16"/>
    </row>
    <row r="24" customFormat="false" ht="32.8" hidden="false" customHeight="true" outlineLevel="0" collapsed="false">
      <c r="A24" s="16" t="s">
        <v>28</v>
      </c>
      <c r="B24" s="16"/>
      <c r="C24" s="16"/>
    </row>
    <row r="25" customFormat="false" ht="22.35" hidden="false" customHeight="true" outlineLevel="0" collapsed="false">
      <c r="A25" s="16" t="s">
        <v>29</v>
      </c>
      <c r="B25" s="16"/>
      <c r="C25" s="16"/>
    </row>
    <row r="26" customFormat="false" ht="22.35" hidden="false" customHeight="true" outlineLevel="0" collapsed="false">
      <c r="A26" s="16" t="s">
        <v>30</v>
      </c>
      <c r="B26" s="16"/>
      <c r="C26" s="16"/>
    </row>
    <row r="27" customFormat="false" ht="22.35" hidden="false" customHeight="true" outlineLevel="0" collapsed="false">
      <c r="A27" s="16" t="s">
        <v>31</v>
      </c>
      <c r="B27" s="16"/>
      <c r="C27" s="16"/>
    </row>
  </sheetData>
  <mergeCells count="6">
    <mergeCell ref="A22:C22"/>
    <mergeCell ref="A23:C23"/>
    <mergeCell ref="A24:C24"/>
    <mergeCell ref="A25:C25"/>
    <mergeCell ref="A26:C26"/>
    <mergeCell ref="A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2026-09-09T18:39:52Z</dcterms:created>
  <dc:creator>openpyxl</dc:creator>
  <dc:description/>
  <dc:language>en-US</dc:language>
  <cp:lastModifiedBy/>
  <dcterms:modified xsi:type="dcterms:W3CDTF">2026-09-09T13:04:24Z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